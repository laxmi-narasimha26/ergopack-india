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nanchopra/Downloads/"/>
    </mc:Choice>
  </mc:AlternateContent>
  <xr:revisionPtr revIDLastSave="0" documentId="13_ncr:1_{1E2E8D7B-5673-FB40-8528-F5D6A5B88D95}" xr6:coauthVersionLast="47" xr6:coauthVersionMax="47" xr10:uidLastSave="{00000000-0000-0000-0000-000000000000}"/>
  <bookViews>
    <workbookView xWindow="4440" yWindow="760" windowWidth="25800" windowHeight="17120" xr2:uid="{00000000-000D-0000-FFFF-FFFF00000000}"/>
  </bookViews>
  <sheets>
    <sheet name="ROI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G12" i="1"/>
  <c r="G14" i="1" s="1"/>
  <c r="G6" i="1"/>
  <c r="G8" i="1" s="1"/>
  <c r="G5" i="1"/>
  <c r="G7" i="1" s="1"/>
  <c r="G9" i="1" l="1"/>
  <c r="G20" i="1" s="1"/>
  <c r="G13" i="1"/>
  <c r="G15" i="1" s="1"/>
  <c r="G10" i="1" l="1"/>
  <c r="G23" i="1"/>
  <c r="G22" i="1"/>
  <c r="G21" i="1"/>
  <c r="G11" i="1"/>
</calcChain>
</file>

<file path=xl/sharedStrings.xml><?xml version="1.0" encoding="utf-8"?>
<sst xmlns="http://schemas.openxmlformats.org/spreadsheetml/2006/main" count="46" uniqueCount="40">
  <si>
    <t>Mobile Strapping Unit — ROI Calculator</t>
  </si>
  <si>
    <t>Machine Details</t>
  </si>
  <si>
    <t>Input</t>
  </si>
  <si>
    <t>Value</t>
  </si>
  <si>
    <t>Machine Price</t>
  </si>
  <si>
    <t>Expected Machine Life (years)</t>
  </si>
  <si>
    <t>Annual Maintenance Cost (AMC) from Year 2</t>
  </si>
  <si>
    <t>Current Manual Process</t>
  </si>
  <si>
    <t>Number of Lines</t>
  </si>
  <si>
    <t>People per Line per Shift (Manual)</t>
  </si>
  <si>
    <t>Number of Shifts per Day</t>
  </si>
  <si>
    <t>Monthly Cost per Person (CTC)</t>
  </si>
  <si>
    <t>Pallets per Shift per Line</t>
  </si>
  <si>
    <t>Minutes to Strap One Pallet (Manual)</t>
  </si>
  <si>
    <t>Automated Process (With Mobile Strapping Unit)</t>
  </si>
  <si>
    <t>People per Line per Shift (Automated)</t>
  </si>
  <si>
    <t>Minutes to Strap One Pallet (Automated)</t>
  </si>
  <si>
    <t>Calculations</t>
  </si>
  <si>
    <t>Output</t>
  </si>
  <si>
    <t>Total Manual Manpower (People)</t>
  </si>
  <si>
    <t>Total Automated Manpower (People)</t>
  </si>
  <si>
    <t>Manual Monthly Cost</t>
  </si>
  <si>
    <t>Automated Monthly Cost</t>
  </si>
  <si>
    <t>Monthly Labour Savings</t>
  </si>
  <si>
    <t>Annual Labour Savings</t>
  </si>
  <si>
    <t>Net Annual Savings After AMC (From Year 2)</t>
  </si>
  <si>
    <t>Manual Pallets per Day</t>
  </si>
  <si>
    <t>Manual Strapping Hours per Day</t>
  </si>
  <si>
    <t>Automated Strapping Hours per Day</t>
  </si>
  <si>
    <t>Hours Saved per Day</t>
  </si>
  <si>
    <t>ROI Summary</t>
  </si>
  <si>
    <t>Key Results</t>
  </si>
  <si>
    <t>Payback Period (Months - Year 1, No AMC)</t>
  </si>
  <si>
    <t>Payback Period (Months - With AMC)</t>
  </si>
  <si>
    <t>5-Year Net Benefit (After AMC)</t>
  </si>
  <si>
    <t>10-Year Net Benefit (After AMC)</t>
  </si>
  <si>
    <t>Go</t>
  </si>
  <si>
    <t>726X Li</t>
  </si>
  <si>
    <t>Model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</si>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</sst>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EF3"/>
        <bgColor rgb="FFE9EEF3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6" formatCode="_ [$₹-4009]\ * #,##0_ ;_ [$₹-4009]\ * \-#,##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FD1E9-4B11-6E48-86F8-276337053350}" name="Table1" displayName="Table1" ref="I3:J6" totalsRowShown="0" headerRowDxfId="6" dataDxfId="4" headerRowBorderDxfId="5" tableBorderDxfId="3" totalsRowBorderDxfId="2">
  <autoFilter ref="I3:J6" xr:uid="{2C7FD1E9-4B11-6E48-86F8-276337053350}">
    <filterColumn colId="0" hiddenButton="1"/>
    <filterColumn colId="1" hiddenButton="1"/>
  </autoFilter>
  <tableColumns count="2">
    <tableColumn id="1" xr3:uid="{0ACA5C7D-3E6C-FD40-A722-3ACE6DB86402}" name="Model" dataDxfId="1"/>
    <tableColumn id="2" xr3:uid="{A56C775C-E562-5B44-90F5-F97CBCDAC09A}" name="Pr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5"/>
  <sheetViews>
    <sheetView showGridLines="0" tabSelected="1" topLeftCell="C1" workbookViewId="0">
      <selection activeCell="D15" sqref="D15"/>
    </sheetView>
  </sheetViews>
  <sheetFormatPr baseColWidth="10" defaultColWidth="0" defaultRowHeight="19" zeroHeight="1" x14ac:dyDescent="0.25"/>
  <cols>
    <col min="1" max="2" width="38.5" style="2" hidden="1" customWidth="1"/>
    <col min="3" max="3" width="44" style="2" bestFit="1" customWidth="1"/>
    <col min="4" max="4" width="11.83203125" style="2" bestFit="1" customWidth="1"/>
    <col min="5" max="5" width="7.83203125" style="2" customWidth="1"/>
    <col min="6" max="6" width="43.5" style="2" bestFit="1" customWidth="1"/>
    <col min="7" max="7" width="13.5" style="2" bestFit="1" customWidth="1"/>
    <col min="8" max="8" width="5.5" style="2" customWidth="1"/>
    <col min="9" max="9" width="9.6640625" style="2" customWidth="1"/>
    <col min="10" max="10" width="11.83203125" style="2" bestFit="1" customWidth="1"/>
    <col min="11" max="11" width="1.6640625" style="2" customWidth="1"/>
    <col min="12" max="16384" width="38.5" style="2" hidden="1"/>
  </cols>
  <sheetData>
    <row r="1" spans="3:10" x14ac:dyDescent="0.25">
      <c r="C1" s="15" t="s">
        <v>0</v>
      </c>
      <c r="D1" s="15"/>
    </row>
    <row r="2" spans="3:10" x14ac:dyDescent="0.25"/>
    <row r="3" spans="3:10" x14ac:dyDescent="0.25">
      <c r="C3" s="14" t="s">
        <v>1</v>
      </c>
      <c r="D3" s="14"/>
      <c r="F3" s="14" t="s">
        <v>17</v>
      </c>
      <c r="G3" s="14"/>
      <c r="I3" s="4" t="s">
        <v>38</v>
      </c>
      <c r="J3" s="5" t="s">
        <v>39</v>
      </c>
    </row>
    <row r="4" spans="3:10" x14ac:dyDescent="0.25">
      <c r="C4" s="1" t="s">
        <v>2</v>
      </c>
      <c r="D4" s="1" t="s">
        <v>3</v>
      </c>
      <c r="F4" s="1" t="s">
        <v>18</v>
      </c>
      <c r="G4" s="1" t="s">
        <v>3</v>
      </c>
      <c r="I4" s="6">
        <v>700</v>
      </c>
      <c r="J4" s="7">
        <v>755000</v>
      </c>
    </row>
    <row r="5" spans="3:10" x14ac:dyDescent="0.25">
      <c r="C5" s="12" t="s">
        <v>4</v>
      </c>
      <c r="D5" s="3">
        <f>J6</f>
        <v>2950000</v>
      </c>
      <c r="F5" s="12" t="s">
        <v>19</v>
      </c>
      <c r="G5" s="11">
        <f>D13*D14*D15</f>
        <v>8</v>
      </c>
      <c r="I5" s="6" t="s">
        <v>36</v>
      </c>
      <c r="J5" s="8">
        <v>1257000</v>
      </c>
    </row>
    <row r="6" spans="3:10" x14ac:dyDescent="0.25">
      <c r="C6" s="12" t="s">
        <v>5</v>
      </c>
      <c r="D6" s="11">
        <v>10</v>
      </c>
      <c r="F6" s="12" t="s">
        <v>20</v>
      </c>
      <c r="G6" s="11">
        <f>D13*D22*D15</f>
        <v>2</v>
      </c>
      <c r="I6" s="9" t="s">
        <v>37</v>
      </c>
      <c r="J6" s="10">
        <v>2950000</v>
      </c>
    </row>
    <row r="7" spans="3:10" x14ac:dyDescent="0.25">
      <c r="C7" s="12" t="s">
        <v>6</v>
      </c>
      <c r="D7" s="3">
        <v>100000</v>
      </c>
      <c r="F7" s="12" t="s">
        <v>21</v>
      </c>
      <c r="G7" s="3">
        <f>G5*D16</f>
        <v>240000</v>
      </c>
    </row>
    <row r="8" spans="3:10" x14ac:dyDescent="0.25">
      <c r="F8" s="12" t="s">
        <v>22</v>
      </c>
      <c r="G8" s="3">
        <f>G6*D16</f>
        <v>60000</v>
      </c>
    </row>
    <row r="9" spans="3:10" x14ac:dyDescent="0.25">
      <c r="F9" s="12" t="s">
        <v>23</v>
      </c>
      <c r="G9" s="3">
        <f>G7-G8</f>
        <v>180000</v>
      </c>
    </row>
    <row r="10" spans="3:10" x14ac:dyDescent="0.25">
      <c r="F10" s="12" t="s">
        <v>24</v>
      </c>
      <c r="G10" s="3">
        <f>G9*12</f>
        <v>2160000</v>
      </c>
    </row>
    <row r="11" spans="3:10" x14ac:dyDescent="0.25">
      <c r="C11" s="14" t="s">
        <v>7</v>
      </c>
      <c r="D11" s="14"/>
      <c r="F11" s="12" t="s">
        <v>25</v>
      </c>
      <c r="G11" s="3">
        <f>G10-D7</f>
        <v>2060000</v>
      </c>
    </row>
    <row r="12" spans="3:10" x14ac:dyDescent="0.25">
      <c r="C12" s="1" t="s">
        <v>2</v>
      </c>
      <c r="D12" s="1" t="s">
        <v>3</v>
      </c>
      <c r="F12" s="12" t="s">
        <v>26</v>
      </c>
      <c r="G12" s="11">
        <f>D13*D15*D17</f>
        <v>100</v>
      </c>
    </row>
    <row r="13" spans="3:10" x14ac:dyDescent="0.25">
      <c r="C13" s="12" t="s">
        <v>8</v>
      </c>
      <c r="D13" s="11">
        <v>1</v>
      </c>
      <c r="F13" s="12" t="s">
        <v>27</v>
      </c>
      <c r="G13" s="11">
        <f>(G12*D18)/60</f>
        <v>7.5</v>
      </c>
    </row>
    <row r="14" spans="3:10" x14ac:dyDescent="0.25">
      <c r="C14" s="12" t="s">
        <v>9</v>
      </c>
      <c r="D14" s="11">
        <v>4</v>
      </c>
      <c r="F14" s="12" t="s">
        <v>28</v>
      </c>
      <c r="G14" s="11">
        <f>(G12*D23)/60</f>
        <v>2.5</v>
      </c>
    </row>
    <row r="15" spans="3:10" x14ac:dyDescent="0.25">
      <c r="C15" s="12" t="s">
        <v>10</v>
      </c>
      <c r="D15" s="11">
        <v>2</v>
      </c>
      <c r="F15" s="12" t="s">
        <v>29</v>
      </c>
      <c r="G15" s="11">
        <f>G13-G14</f>
        <v>5</v>
      </c>
    </row>
    <row r="16" spans="3:10" x14ac:dyDescent="0.25">
      <c r="C16" s="12" t="s">
        <v>11</v>
      </c>
      <c r="D16" s="3">
        <v>30000</v>
      </c>
    </row>
    <row r="17" spans="3:7" x14ac:dyDescent="0.25">
      <c r="C17" s="12" t="s">
        <v>12</v>
      </c>
      <c r="D17" s="11">
        <v>50</v>
      </c>
    </row>
    <row r="18" spans="3:7" x14ac:dyDescent="0.25">
      <c r="C18" s="12" t="s">
        <v>13</v>
      </c>
      <c r="D18" s="11">
        <v>4.5</v>
      </c>
      <c r="F18" s="14" t="s">
        <v>30</v>
      </c>
      <c r="G18" s="14"/>
    </row>
    <row r="19" spans="3:7" x14ac:dyDescent="0.25">
      <c r="F19" s="1" t="s">
        <v>31</v>
      </c>
      <c r="G19" s="1" t="s">
        <v>3</v>
      </c>
    </row>
    <row r="20" spans="3:7" x14ac:dyDescent="0.25">
      <c r="C20" s="14" t="s">
        <v>14</v>
      </c>
      <c r="D20" s="14"/>
      <c r="F20" s="12" t="s">
        <v>32</v>
      </c>
      <c r="G20" s="13">
        <f>D5/G9</f>
        <v>16.388888888888889</v>
      </c>
    </row>
    <row r="21" spans="3:7" x14ac:dyDescent="0.25">
      <c r="C21" s="1" t="s">
        <v>2</v>
      </c>
      <c r="D21" s="1" t="s">
        <v>3</v>
      </c>
      <c r="F21" s="12" t="s">
        <v>33</v>
      </c>
      <c r="G21" s="13">
        <f>D5/((G10-D7)/12)</f>
        <v>17.184466019417478</v>
      </c>
    </row>
    <row r="22" spans="3:7" x14ac:dyDescent="0.25">
      <c r="C22" s="11" t="s">
        <v>15</v>
      </c>
      <c r="D22" s="11">
        <v>1</v>
      </c>
      <c r="F22" s="12" t="s">
        <v>34</v>
      </c>
      <c r="G22" s="3">
        <f>(G10*5)-(D7*4)-D5</f>
        <v>7450000</v>
      </c>
    </row>
    <row r="23" spans="3:7" x14ac:dyDescent="0.25">
      <c r="C23" s="11" t="s">
        <v>16</v>
      </c>
      <c r="D23" s="11">
        <v>1.5</v>
      </c>
      <c r="F23" s="12" t="s">
        <v>35</v>
      </c>
      <c r="G23" s="3">
        <f>(G10*10)-(D7*9)-D5</f>
        <v>17750000</v>
      </c>
    </row>
    <row r="24" spans="3:7" x14ac:dyDescent="0.25"/>
    <row r="25" spans="3:7" x14ac:dyDescent="0.25"/>
  </sheetData>
  <mergeCells count="6">
    <mergeCell ref="C20:D20"/>
    <mergeCell ref="C3:D3"/>
    <mergeCell ref="F3:G3"/>
    <mergeCell ref="F18:G18"/>
    <mergeCell ref="C1:D1"/>
    <mergeCell ref="C11:D1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Manan Chopra</cp:lastModifiedBy>
  <dcterms:created xsi:type="dcterms:W3CDTF">2026-01-19T07:27:25Z</dcterms:created>
  <dcterms:modified xsi:type="dcterms:W3CDTF">2026-01-21T10:59:22Z</dcterms:modified>
</cp:coreProperties>
</file>